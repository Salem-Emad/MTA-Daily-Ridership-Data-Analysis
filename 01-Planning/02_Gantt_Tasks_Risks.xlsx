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6D0DF0A-0386-408F-BA59-85049027EE0E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Gantt" sheetId="1" r:id="rId1"/>
    <sheet name="Task Distribution" sheetId="2" r:id="rId2"/>
    <sheet name="Risk Pl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3" l="1"/>
  <c r="F14" i="3" s="1"/>
  <c r="E13" i="3"/>
  <c r="F13" i="3" s="1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F27" i="1"/>
  <c r="F26" i="1"/>
  <c r="F25" i="1"/>
  <c r="F24" i="1"/>
  <c r="F23" i="1"/>
  <c r="F22" i="1"/>
  <c r="F21" i="1"/>
  <c r="F20" i="1"/>
  <c r="F19" i="1"/>
  <c r="F18" i="1"/>
  <c r="E17" i="1"/>
  <c r="F17" i="1" s="1"/>
  <c r="D17" i="1"/>
  <c r="F16" i="1"/>
  <c r="F15" i="1"/>
  <c r="F14" i="1"/>
  <c r="F13" i="1"/>
  <c r="F12" i="1"/>
  <c r="F11" i="1"/>
  <c r="F10" i="1"/>
  <c r="E9" i="1"/>
  <c r="F9" i="1" s="1"/>
  <c r="D9" i="1"/>
  <c r="I8" i="1"/>
  <c r="J8" i="1" s="1"/>
  <c r="K8" i="1" s="1"/>
  <c r="L8" i="1" s="1"/>
  <c r="H7" i="1"/>
  <c r="I7" i="1" s="1"/>
  <c r="J7" i="1" s="1"/>
  <c r="K7" i="1" s="1"/>
  <c r="L7" i="1" s="1"/>
  <c r="B6" i="1"/>
  <c r="F8" i="2" l="1"/>
  <c r="F5" i="2"/>
  <c r="F9" i="2"/>
  <c r="F6" i="2"/>
  <c r="E10" i="2"/>
  <c r="F4" i="2"/>
  <c r="D10" i="2"/>
  <c r="F7" i="2"/>
  <c r="C10" i="2"/>
  <c r="F10" i="2" l="1"/>
</calcChain>
</file>

<file path=xl/sharedStrings.xml><?xml version="1.0" encoding="utf-8"?>
<sst xmlns="http://schemas.openxmlformats.org/spreadsheetml/2006/main" count="149" uniqueCount="97">
  <si>
    <t>Project Name:</t>
  </si>
  <si>
    <t>MTA Daily Ridership – Recovery Analysis &amp; Forecast (DEPI Data Analysis Track)</t>
  </si>
  <si>
    <t>Project Start:</t>
  </si>
  <si>
    <t>Plan End (Phase 2):</t>
  </si>
  <si>
    <t>weeks in progress:</t>
  </si>
  <si>
    <t>Phase</t>
  </si>
  <si>
    <t>Tasks</t>
  </si>
  <si>
    <t>Responsible Person</t>
  </si>
  <si>
    <t>Start Date</t>
  </si>
  <si>
    <t>End Date</t>
  </si>
  <si>
    <t>Days</t>
  </si>
  <si>
    <t>Status</t>
  </si>
  <si>
    <t>Phase 1 – Management, Planning &amp; Requirements (Due 16 Oct)</t>
  </si>
  <si>
    <t>Create GitHub repo and add all members</t>
  </si>
  <si>
    <t>Salem</t>
  </si>
  <si>
    <t>Not Started</t>
  </si>
  <si>
    <t>Project Proposal (overview, problem, objectives, scope)</t>
  </si>
  <si>
    <t>Gantt Chart, task distribution &amp; risk plan</t>
  </si>
  <si>
    <t>Dalia</t>
  </si>
  <si>
    <t>In Progress</t>
  </si>
  <si>
    <t>KPIs and success measures</t>
  </si>
  <si>
    <t>Rana</t>
  </si>
  <si>
    <t>Requirements (stakeholders, user stories, FR/NFR)</t>
  </si>
  <si>
    <t>Mohamed</t>
  </si>
  <si>
    <t>Group review of all Phase 1 documents</t>
  </si>
  <si>
    <t>All Team</t>
  </si>
  <si>
    <t>Upload to GitHub and submit Phase 1</t>
  </si>
  <si>
    <t>Phase 2 – Design &amp; Analysis (Due 6 Nov)</t>
  </si>
  <si>
    <t>Final problem statement and objectives</t>
  </si>
  <si>
    <t>Tech stack (tools and GitHub structure)</t>
  </si>
  <si>
    <t>Use Case diagram</t>
  </si>
  <si>
    <t>ERD (star schema: fact + Dim_Date + Dim_Mode)</t>
  </si>
  <si>
    <t>DFD (source → cleaning → analysis → dashboard)</t>
  </si>
  <si>
    <t>Wireframe: Overview page</t>
  </si>
  <si>
    <t>Wireframe: Recovery page</t>
  </si>
  <si>
    <t>Wireframe: Patterns page</t>
  </si>
  <si>
    <t>Wireframe: Forecast page</t>
  </si>
  <si>
    <t>Group review and upload Phase 2</t>
  </si>
  <si>
    <t>Legend:</t>
  </si>
  <si>
    <t>Task Distribution</t>
  </si>
  <si>
    <t>Member</t>
  </si>
  <si>
    <t>Total tasks</t>
  </si>
  <si>
    <t>Done</t>
  </si>
  <si>
    <t>% Done</t>
  </si>
  <si>
    <t>Mira</t>
  </si>
  <si>
    <t>Group tasks (reviews, submissions)</t>
  </si>
  <si>
    <t>Total</t>
  </si>
  <si>
    <t>Counts update automatically from the Gantt sheet (names must match the 'Responsible Person' column).</t>
  </si>
  <si>
    <t>Risk Plan</t>
  </si>
  <si>
    <t>Probability and Impact: 1 = Low, 2 = Medium, 3 = High.  Score = Probability × Impact (1–2 Low, 3–4 Medium, 6–9 High).</t>
  </si>
  <si>
    <t>ID</t>
  </si>
  <si>
    <t>Risk</t>
  </si>
  <si>
    <t>Probability</t>
  </si>
  <si>
    <t>Impact</t>
  </si>
  <si>
    <t>Score</t>
  </si>
  <si>
    <t>Level</t>
  </si>
  <si>
    <t>Mitigation / Response</t>
  </si>
  <si>
    <t>Owner</t>
  </si>
  <si>
    <t>R1</t>
  </si>
  <si>
    <t>A team member leaves or becomes inactive</t>
  </si>
  <si>
    <t>Happened</t>
  </si>
  <si>
    <t>One member left the group. Tasks were redistributed across five members after a new member joined, and every role is documented in the Gantt. If it happens again: redistribute within 48 hours and inform the trainer.</t>
  </si>
  <si>
    <t>R2</t>
  </si>
  <si>
    <t>A deadline is missed (16 Oct, 6 Nov, 30 Nov, 4 Dec)</t>
  </si>
  <si>
    <t>Open</t>
  </si>
  <si>
    <t>Internal draft deadlines 3–4 days before each official date; weekly meeting; anyone blocked says so early in the group.</t>
  </si>
  <si>
    <t>R3</t>
  </si>
  <si>
    <t>Data model delivered late blocks all dashboard pages</t>
  </si>
  <si>
    <t>The cleaned model is due on 12 Nov. Meanwhile the others work on wireframes and draft measures; escalate in the group if it is not shared by 12 Nov.</t>
  </si>
  <si>
    <t>R4</t>
  </si>
  <si>
    <t>Forecast accuracy is low</t>
  </si>
  <si>
    <t>Use 2022 onward only (exclude COVID years); backtest on the last 3 months; compare with a same-month-last-year baseline; document limits honestly.</t>
  </si>
  <si>
    <t>R5</t>
  </si>
  <si>
    <t>Power BI files conflict when pages are merged</t>
  </si>
  <si>
    <t>One person owns and merges the main .pbix; everyone builds from the same cleaned model; name versions with the date.</t>
  </si>
  <si>
    <t>R6</t>
  </si>
  <si>
    <t>Data quality issues (zero values in Staten Island, different units for Access-A-Ride and Bridges &amp; Tunnels)</t>
  </si>
  <si>
    <t>Treat the zero days as missing; show different units separately; document every cleaning step.</t>
  </si>
  <si>
    <t>R7</t>
  </si>
  <si>
    <t>GitHub mistakes or an unclear commit history</t>
  </si>
  <si>
    <t>One person creates the repo and a short how-to; everyone tests one push in week 1; clear commit messages per member.</t>
  </si>
  <si>
    <t>R8</t>
  </si>
  <si>
    <t>Unequal workload or invisible individual contribution</t>
  </si>
  <si>
    <t>Per-person tasks in the Gantt; weekly check-in; every member explains their own part before the final presentation.</t>
  </si>
  <si>
    <t>R9</t>
  </si>
  <si>
    <t>Skill gaps (DAX, forecasting in Power BI)</t>
  </si>
  <si>
    <t>Weekly short knowledge-sharing; use Power BI's built-in forecast first; ask the trainer when stuck.</t>
  </si>
  <si>
    <t>R10</t>
  </si>
  <si>
    <t>New member needs onboarding</t>
  </si>
  <si>
    <t>Short briefing on the project and data; a clear first task; review of the Phase 1 files.</t>
  </si>
  <si>
    <t>official deadlines (16 Oct and 6 Nov).  Phases 3 and 4 will be added later.</t>
  </si>
  <si>
    <t>Phase 1,2 deliverable</t>
  </si>
  <si>
    <t>Project Proposal + GitHub repo + Final problem statement and objectives</t>
  </si>
  <si>
    <t xml:space="preserve">Gantt chart, task distribution, risk plan +Wireframes(4 Pages) </t>
  </si>
  <si>
    <t>Requirements (stakeholders, user stories, FR/NFR) + Tech stack + DFD</t>
  </si>
  <si>
    <t>KPIs and success measures + Use Case diagram</t>
  </si>
  <si>
    <t>ERD (Joined after the Phase 1 split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</si>
</sst>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&quot;WK &quot;0"/>
    <numFmt numFmtId="166" formatCode="dd\-mmm"/>
  </numFmts>
  <fonts count="9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b/>
      <sz val="9"/>
      <name val="Arial"/>
      <charset val="1"/>
    </font>
    <font>
      <i/>
      <sz val="9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0B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" fontId="3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166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rgb="FFC6E0B4"/>
        </patternFill>
      </fill>
    </dxf>
    <dxf>
      <fill>
        <patternFill>
          <bgColor rgb="FFFFE599"/>
        </patternFill>
      </fill>
    </dxf>
    <dxf>
      <fill>
        <patternFill>
          <bgColor rgb="FFF4B6B6"/>
        </patternFill>
      </fill>
    </dxf>
    <dxf>
      <fill>
        <patternFill>
          <bgColor rgb="FF8497B0"/>
        </patternFill>
      </fill>
    </dxf>
    <dxf>
      <fill>
        <patternFill>
          <bgColor rgb="FF1F3864"/>
        </patternFill>
      </fill>
    </dxf>
    <dxf>
      <fill>
        <patternFill>
          <bgColor rgb="FF6AA84F"/>
        </patternFill>
      </fill>
    </dxf>
    <dxf>
      <fill>
        <patternFill>
          <bgColor rgb="FFFFD96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D966"/>
      <rgbColor rgb="FF99CCFF"/>
      <rgbColor rgb="FFF4B6B6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1F3864"/>
      <rgbColor rgb="FF6AA84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L32"/>
  <sheetViews>
    <sheetView showGridLines="0" topLeftCell="F1" zoomScale="85" zoomScaleNormal="85" workbookViewId="0">
      <pane ySplit="8" topLeftCell="A9" activePane="bottomLeft" state="frozen"/>
      <selection pane="bottomLeft" activeCell="G16" sqref="G16"/>
    </sheetView>
  </sheetViews>
  <sheetFormatPr defaultColWidth="8.7109375" defaultRowHeight="15" x14ac:dyDescent="0.25"/>
  <cols>
    <col min="1" max="1" width="34" customWidth="1"/>
    <col min="2" max="2" width="62" customWidth="1"/>
    <col min="3" max="3" width="21" customWidth="1"/>
    <col min="4" max="5" width="11" customWidth="1"/>
    <col min="6" max="6" width="6" customWidth="1"/>
    <col min="7" max="7" width="13" customWidth="1"/>
    <col min="8" max="12" width="9" customWidth="1"/>
  </cols>
  <sheetData>
    <row r="3" spans="1:12" x14ac:dyDescent="0.25">
      <c r="A3" s="1" t="s">
        <v>0</v>
      </c>
      <c r="B3" s="2" t="s">
        <v>1</v>
      </c>
    </row>
    <row r="4" spans="1:12" x14ac:dyDescent="0.25">
      <c r="A4" s="1" t="s">
        <v>2</v>
      </c>
      <c r="B4" s="3">
        <v>46299</v>
      </c>
    </row>
    <row r="5" spans="1:12" x14ac:dyDescent="0.25">
      <c r="A5" s="1" t="s">
        <v>3</v>
      </c>
      <c r="B5" s="3">
        <v>46332</v>
      </c>
    </row>
    <row r="6" spans="1:12" x14ac:dyDescent="0.25">
      <c r="A6" s="1" t="s">
        <v>4</v>
      </c>
      <c r="B6" s="2">
        <f>ROUNDUP((B5-B4)/7,0)</f>
        <v>5</v>
      </c>
    </row>
    <row r="7" spans="1:12" x14ac:dyDescent="0.25">
      <c r="H7" s="4">
        <f>B4</f>
        <v>46299</v>
      </c>
      <c r="I7" s="4">
        <f>H7+7</f>
        <v>46306</v>
      </c>
      <c r="J7" s="4">
        <f>I7+7</f>
        <v>46313</v>
      </c>
      <c r="K7" s="4">
        <f>J7+7</f>
        <v>46320</v>
      </c>
      <c r="L7" s="4">
        <f>K7+7</f>
        <v>46327</v>
      </c>
    </row>
    <row r="8" spans="1:12" ht="24" customHeight="1" x14ac:dyDescent="0.2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>
        <v>1</v>
      </c>
      <c r="I8" s="6">
        <f>H8+1</f>
        <v>2</v>
      </c>
      <c r="J8" s="6">
        <f>I8+1</f>
        <v>3</v>
      </c>
      <c r="K8" s="6">
        <f>J8+1</f>
        <v>4</v>
      </c>
      <c r="L8" s="6">
        <f>K8+1</f>
        <v>5</v>
      </c>
    </row>
    <row r="9" spans="1:12" x14ac:dyDescent="0.25">
      <c r="A9" s="7" t="s">
        <v>12</v>
      </c>
      <c r="B9" s="7"/>
      <c r="C9" s="7"/>
      <c r="D9" s="8">
        <f>MIN(D10:D16)</f>
        <v>46299</v>
      </c>
      <c r="E9" s="8">
        <f>MAX(E10:E16)</f>
        <v>46311</v>
      </c>
      <c r="F9" s="9">
        <f t="shared" ref="F9:F27" si="0">E9-D9+1</f>
        <v>13</v>
      </c>
      <c r="G9" s="7"/>
      <c r="H9" s="7"/>
      <c r="I9" s="7"/>
      <c r="J9" s="7"/>
      <c r="K9" s="7"/>
      <c r="L9" s="7"/>
    </row>
    <row r="10" spans="1:12" x14ac:dyDescent="0.25">
      <c r="A10" s="10"/>
      <c r="B10" s="11" t="s">
        <v>13</v>
      </c>
      <c r="C10" s="12" t="s">
        <v>14</v>
      </c>
      <c r="D10" s="13">
        <v>46299</v>
      </c>
      <c r="E10" s="13">
        <v>46301</v>
      </c>
      <c r="F10" s="12">
        <f t="shared" si="0"/>
        <v>3</v>
      </c>
      <c r="G10" s="12" t="s">
        <v>42</v>
      </c>
      <c r="H10" s="10"/>
      <c r="I10" s="10"/>
      <c r="J10" s="10"/>
      <c r="K10" s="10"/>
      <c r="L10" s="10"/>
    </row>
    <row r="11" spans="1:12" x14ac:dyDescent="0.25">
      <c r="A11" s="10"/>
      <c r="B11" s="11" t="s">
        <v>16</v>
      </c>
      <c r="C11" s="12" t="s">
        <v>14</v>
      </c>
      <c r="D11" s="13">
        <v>46300</v>
      </c>
      <c r="E11" s="13">
        <v>46307</v>
      </c>
      <c r="F11" s="12">
        <f t="shared" si="0"/>
        <v>8</v>
      </c>
      <c r="G11" s="12" t="s">
        <v>42</v>
      </c>
      <c r="H11" s="10"/>
      <c r="I11" s="10"/>
      <c r="J11" s="10"/>
      <c r="K11" s="10"/>
      <c r="L11" s="10"/>
    </row>
    <row r="12" spans="1:12" x14ac:dyDescent="0.25">
      <c r="A12" s="10"/>
      <c r="B12" s="11" t="s">
        <v>17</v>
      </c>
      <c r="C12" s="12" t="s">
        <v>18</v>
      </c>
      <c r="D12" s="13">
        <v>46300</v>
      </c>
      <c r="E12" s="13">
        <v>46307</v>
      </c>
      <c r="F12" s="12">
        <f t="shared" si="0"/>
        <v>8</v>
      </c>
      <c r="G12" s="12" t="s">
        <v>42</v>
      </c>
      <c r="H12" s="10"/>
      <c r="I12" s="10"/>
      <c r="J12" s="10"/>
      <c r="K12" s="10"/>
      <c r="L12" s="10"/>
    </row>
    <row r="13" spans="1:12" x14ac:dyDescent="0.25">
      <c r="A13" s="10"/>
      <c r="B13" s="11" t="s">
        <v>20</v>
      </c>
      <c r="C13" s="12" t="s">
        <v>21</v>
      </c>
      <c r="D13" s="13">
        <v>46300</v>
      </c>
      <c r="E13" s="13">
        <v>46307</v>
      </c>
      <c r="F13" s="12">
        <f t="shared" si="0"/>
        <v>8</v>
      </c>
      <c r="G13" s="12" t="s">
        <v>42</v>
      </c>
      <c r="H13" s="10"/>
      <c r="I13" s="10"/>
      <c r="J13" s="10"/>
      <c r="K13" s="10"/>
      <c r="L13" s="10"/>
    </row>
    <row r="14" spans="1:12" x14ac:dyDescent="0.25">
      <c r="A14" s="10"/>
      <c r="B14" s="11" t="s">
        <v>22</v>
      </c>
      <c r="C14" s="12" t="s">
        <v>23</v>
      </c>
      <c r="D14" s="13">
        <v>46300</v>
      </c>
      <c r="E14" s="13">
        <v>46307</v>
      </c>
      <c r="F14" s="12">
        <f t="shared" si="0"/>
        <v>8</v>
      </c>
      <c r="G14" s="12" t="s">
        <v>42</v>
      </c>
      <c r="H14" s="10"/>
      <c r="I14" s="10"/>
      <c r="J14" s="10"/>
      <c r="K14" s="10"/>
      <c r="L14" s="10"/>
    </row>
    <row r="15" spans="1:12" x14ac:dyDescent="0.25">
      <c r="A15" s="10"/>
      <c r="B15" s="11" t="s">
        <v>24</v>
      </c>
      <c r="C15" s="12" t="s">
        <v>25</v>
      </c>
      <c r="D15" s="13">
        <v>46308</v>
      </c>
      <c r="E15" s="13">
        <v>46309</v>
      </c>
      <c r="F15" s="12">
        <f t="shared" si="0"/>
        <v>2</v>
      </c>
      <c r="G15" s="12" t="s">
        <v>42</v>
      </c>
      <c r="H15" s="10"/>
      <c r="I15" s="10"/>
      <c r="J15" s="10"/>
      <c r="K15" s="10"/>
      <c r="L15" s="10"/>
    </row>
    <row r="16" spans="1:12" x14ac:dyDescent="0.25">
      <c r="A16" s="10"/>
      <c r="B16" s="11" t="s">
        <v>26</v>
      </c>
      <c r="C16" s="12" t="s">
        <v>25</v>
      </c>
      <c r="D16" s="13">
        <v>46310</v>
      </c>
      <c r="E16" s="13">
        <v>46311</v>
      </c>
      <c r="F16" s="12">
        <f t="shared" si="0"/>
        <v>2</v>
      </c>
      <c r="G16" s="12" t="s">
        <v>42</v>
      </c>
      <c r="H16" s="10"/>
      <c r="I16" s="10"/>
      <c r="J16" s="10"/>
      <c r="K16" s="10"/>
      <c r="L16" s="10"/>
    </row>
    <row r="17" spans="1:12" x14ac:dyDescent="0.25">
      <c r="A17" s="7" t="s">
        <v>27</v>
      </c>
      <c r="B17" s="7"/>
      <c r="C17" s="7"/>
      <c r="D17" s="8">
        <f>MIN(D18:D27)</f>
        <v>46312</v>
      </c>
      <c r="E17" s="8">
        <f>MAX(E18:E27)</f>
        <v>46332</v>
      </c>
      <c r="F17" s="9">
        <f t="shared" si="0"/>
        <v>21</v>
      </c>
      <c r="G17" s="7"/>
      <c r="H17" s="7"/>
      <c r="I17" s="7"/>
      <c r="J17" s="7"/>
      <c r="K17" s="7"/>
      <c r="L17" s="7"/>
    </row>
    <row r="18" spans="1:12" x14ac:dyDescent="0.25">
      <c r="A18" s="10"/>
      <c r="B18" s="11" t="s">
        <v>28</v>
      </c>
      <c r="C18" s="25" t="s">
        <v>14</v>
      </c>
      <c r="D18" s="13">
        <v>46312</v>
      </c>
      <c r="E18" s="13">
        <v>46315</v>
      </c>
      <c r="F18" s="12">
        <f t="shared" si="0"/>
        <v>4</v>
      </c>
      <c r="G18" s="12" t="s">
        <v>15</v>
      </c>
      <c r="H18" s="10"/>
      <c r="I18" s="10"/>
      <c r="J18" s="10"/>
      <c r="K18" s="10"/>
      <c r="L18" s="10"/>
    </row>
    <row r="19" spans="1:12" x14ac:dyDescent="0.25">
      <c r="A19" s="10"/>
      <c r="B19" s="11" t="s">
        <v>29</v>
      </c>
      <c r="C19" s="25" t="s">
        <v>23</v>
      </c>
      <c r="D19" s="13">
        <v>46314</v>
      </c>
      <c r="E19" s="13">
        <v>46317</v>
      </c>
      <c r="F19" s="12">
        <f t="shared" si="0"/>
        <v>4</v>
      </c>
      <c r="G19" s="12" t="s">
        <v>15</v>
      </c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25" t="s">
        <v>21</v>
      </c>
      <c r="D20" s="13">
        <v>46314</v>
      </c>
      <c r="E20" s="13">
        <v>46323</v>
      </c>
      <c r="F20" s="12">
        <f t="shared" si="0"/>
        <v>10</v>
      </c>
      <c r="G20" s="12" t="s">
        <v>19</v>
      </c>
      <c r="H20" s="10"/>
      <c r="I20" s="10"/>
      <c r="J20" s="10"/>
      <c r="K20" s="10"/>
      <c r="L20" s="10"/>
    </row>
    <row r="21" spans="1:12" x14ac:dyDescent="0.25">
      <c r="A21" s="10"/>
      <c r="B21" s="11" t="s">
        <v>31</v>
      </c>
      <c r="C21" s="25" t="s">
        <v>44</v>
      </c>
      <c r="D21" s="13">
        <v>46314</v>
      </c>
      <c r="E21" s="13">
        <v>46325</v>
      </c>
      <c r="F21" s="12">
        <f t="shared" si="0"/>
        <v>12</v>
      </c>
      <c r="G21" s="12" t="s">
        <v>15</v>
      </c>
      <c r="H21" s="10"/>
      <c r="I21" s="10"/>
      <c r="J21" s="10"/>
      <c r="K21" s="10"/>
      <c r="L21" s="10"/>
    </row>
    <row r="22" spans="1:12" x14ac:dyDescent="0.25">
      <c r="A22" s="10"/>
      <c r="B22" s="11" t="s">
        <v>32</v>
      </c>
      <c r="C22" s="25" t="s">
        <v>23</v>
      </c>
      <c r="D22" s="13">
        <v>46317</v>
      </c>
      <c r="E22" s="13">
        <v>46325</v>
      </c>
      <c r="F22" s="12">
        <f t="shared" si="0"/>
        <v>9</v>
      </c>
      <c r="G22" s="12" t="s">
        <v>15</v>
      </c>
      <c r="H22" s="10"/>
      <c r="I22" s="10"/>
      <c r="J22" s="10"/>
      <c r="K22" s="10"/>
      <c r="L22" s="10"/>
    </row>
    <row r="23" spans="1:12" x14ac:dyDescent="0.25">
      <c r="A23" s="10"/>
      <c r="B23" s="11" t="s">
        <v>33</v>
      </c>
      <c r="C23" s="25" t="s">
        <v>18</v>
      </c>
      <c r="D23" s="13">
        <v>46321</v>
      </c>
      <c r="E23" s="13">
        <v>46329</v>
      </c>
      <c r="F23" s="12">
        <f t="shared" si="0"/>
        <v>9</v>
      </c>
      <c r="G23" s="12" t="s">
        <v>19</v>
      </c>
      <c r="H23" s="10"/>
      <c r="I23" s="10"/>
      <c r="J23" s="10"/>
      <c r="K23" s="10"/>
      <c r="L23" s="10"/>
    </row>
    <row r="24" spans="1:12" x14ac:dyDescent="0.25">
      <c r="A24" s="10"/>
      <c r="B24" s="11" t="s">
        <v>34</v>
      </c>
      <c r="C24" s="25" t="s">
        <v>18</v>
      </c>
      <c r="D24" s="13">
        <v>46321</v>
      </c>
      <c r="E24" s="13">
        <v>46329</v>
      </c>
      <c r="F24" s="12">
        <f t="shared" si="0"/>
        <v>9</v>
      </c>
      <c r="G24" s="12" t="s">
        <v>19</v>
      </c>
      <c r="H24" s="10"/>
      <c r="I24" s="10"/>
      <c r="J24" s="10"/>
      <c r="K24" s="10"/>
      <c r="L24" s="10"/>
    </row>
    <row r="25" spans="1:12" x14ac:dyDescent="0.25">
      <c r="A25" s="10"/>
      <c r="B25" s="11" t="s">
        <v>35</v>
      </c>
      <c r="C25" s="25" t="s">
        <v>18</v>
      </c>
      <c r="D25" s="13">
        <v>46321</v>
      </c>
      <c r="E25" s="13">
        <v>46329</v>
      </c>
      <c r="F25" s="12">
        <f t="shared" si="0"/>
        <v>9</v>
      </c>
      <c r="G25" s="12" t="s">
        <v>19</v>
      </c>
      <c r="H25" s="10"/>
      <c r="I25" s="10"/>
      <c r="J25" s="10"/>
      <c r="K25" s="10"/>
      <c r="L25" s="10"/>
    </row>
    <row r="26" spans="1:12" x14ac:dyDescent="0.25">
      <c r="A26" s="10"/>
      <c r="B26" s="11" t="s">
        <v>36</v>
      </c>
      <c r="C26" s="25" t="s">
        <v>18</v>
      </c>
      <c r="D26" s="13">
        <v>46321</v>
      </c>
      <c r="E26" s="13">
        <v>46329</v>
      </c>
      <c r="F26" s="12">
        <f t="shared" si="0"/>
        <v>9</v>
      </c>
      <c r="G26" s="12" t="s">
        <v>19</v>
      </c>
      <c r="H26" s="10"/>
      <c r="I26" s="10"/>
      <c r="J26" s="10"/>
      <c r="K26" s="10"/>
      <c r="L26" s="10"/>
    </row>
    <row r="27" spans="1:12" x14ac:dyDescent="0.25">
      <c r="A27" s="10"/>
      <c r="B27" s="11" t="s">
        <v>37</v>
      </c>
      <c r="C27" s="12" t="s">
        <v>25</v>
      </c>
      <c r="D27" s="13">
        <v>46330</v>
      </c>
      <c r="E27" s="13">
        <v>46332</v>
      </c>
      <c r="F27" s="12">
        <f t="shared" si="0"/>
        <v>3</v>
      </c>
      <c r="G27" s="12" t="s">
        <v>15</v>
      </c>
      <c r="H27" s="10"/>
      <c r="I27" s="10"/>
      <c r="J27" s="10"/>
      <c r="K27" s="10"/>
      <c r="L27" s="10"/>
    </row>
    <row r="29" spans="1:12" x14ac:dyDescent="0.25">
      <c r="A29" s="14" t="s">
        <v>38</v>
      </c>
    </row>
    <row r="30" spans="1:12" x14ac:dyDescent="0.25">
      <c r="A30" s="15"/>
    </row>
    <row r="31" spans="1:12" x14ac:dyDescent="0.25">
      <c r="A31" s="15"/>
    </row>
    <row r="32" spans="1:12" x14ac:dyDescent="0.25">
      <c r="A32" s="15" t="s">
        <v>90</v>
      </c>
    </row>
  </sheetData>
  <conditionalFormatting sqref="H7:L8">
    <cfRule type="expression" dxfId="6" priority="5">
      <formula>AND(TODAY()&gt;=H$7,TODAY()&lt;=H$7+6)</formula>
    </cfRule>
  </conditionalFormatting>
  <conditionalFormatting sqref="H9:L27">
    <cfRule type="expression" dxfId="5" priority="2">
      <formula>AND($G9="Done",$B9&lt;&gt;"",$D9&lt;=H$7+6,$E9&gt;=H$7)</formula>
    </cfRule>
    <cfRule type="expression" dxfId="4" priority="3">
      <formula>AND($B9&lt;&gt;"",$D9&lt;&gt;"",$D9&lt;=H$7+6,$E9&gt;=H$7)</formula>
    </cfRule>
    <cfRule type="expression" dxfId="3" priority="4">
      <formula>AND($B9="",$A9&lt;&gt;"",$D9&lt;=H$7+6,$E9&gt;=H$7)</formula>
    </cfRule>
  </conditionalFormatting>
  <dataValidations count="2">
    <dataValidation type="list" allowBlank="1" sqref="G9:G27" xr:uid="{00000000-0002-0000-0000-000000000000}">
      <formula1>"Not Started,In Progress,Done"</formula1>
      <formula2>0</formula2>
    </dataValidation>
    <dataValidation type="list" allowBlank="1" sqref="C9:C27" xr:uid="{00000000-0002-0000-0000-000001000000}">
      <formula1>"Salem,Dalia,Mohamed,Rana,Mira,All Team,TBD"</formula1>
      <formula2>0</formula2>
    </dataValidation>
  </dataValidations>
  <pageMargins left="0.75" right="0.75" top="1" bottom="1" header="0.511811023622047" footer="0.511811023622047"/>
  <pageSetup scale="5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2"/>
  <sheetViews>
    <sheetView showGridLines="0" tabSelected="1" zoomScaleNormal="100" workbookViewId="0">
      <selection activeCell="B15" sqref="B15"/>
    </sheetView>
  </sheetViews>
  <sheetFormatPr defaultColWidth="8.7109375" defaultRowHeight="15" x14ac:dyDescent="0.25"/>
  <cols>
    <col min="1" max="1" width="14" customWidth="1"/>
    <col min="2" max="2" width="52" customWidth="1"/>
    <col min="3" max="4" width="12" customWidth="1"/>
    <col min="5" max="6" width="9" customWidth="1"/>
  </cols>
  <sheetData>
    <row r="1" spans="1:6" ht="18" x14ac:dyDescent="0.25">
      <c r="A1" s="16" t="s">
        <v>39</v>
      </c>
    </row>
    <row r="3" spans="1:6" x14ac:dyDescent="0.25">
      <c r="A3" s="17" t="s">
        <v>40</v>
      </c>
      <c r="B3" s="17" t="s">
        <v>91</v>
      </c>
      <c r="C3" s="17" t="s">
        <v>41</v>
      </c>
      <c r="D3" s="17" t="s">
        <v>19</v>
      </c>
      <c r="E3" s="17" t="s">
        <v>42</v>
      </c>
      <c r="F3" s="17" t="s">
        <v>43</v>
      </c>
    </row>
    <row r="4" spans="1:6" ht="25.5" customHeight="1" x14ac:dyDescent="0.25">
      <c r="A4" s="18" t="s">
        <v>14</v>
      </c>
      <c r="B4" s="19" t="s">
        <v>92</v>
      </c>
      <c r="C4" s="20">
        <f>COUNTIF(Gantt!$C$9:$C$27,A4)</f>
        <v>3</v>
      </c>
      <c r="D4" s="20">
        <f>COUNTIFS(Gantt!$C$9:$C$27,A4,Gantt!$G$9:$G$27,"In Progress")</f>
        <v>0</v>
      </c>
      <c r="E4" s="20">
        <f>COUNTIFS(Gantt!$C$9:$C$27,A4,Gantt!$G$9:$G$27,"Done")</f>
        <v>2</v>
      </c>
      <c r="F4" s="21">
        <f t="shared" ref="F4:F10" si="0">IF(C4=0,0,E4/C4)</f>
        <v>0.66666666666666663</v>
      </c>
    </row>
    <row r="5" spans="1:6" ht="25.5" customHeight="1" x14ac:dyDescent="0.25">
      <c r="A5" s="18" t="s">
        <v>18</v>
      </c>
      <c r="B5" s="19" t="s">
        <v>93</v>
      </c>
      <c r="C5" s="20">
        <f>COUNTIF(Gantt!$C$9:$C$27,A5)</f>
        <v>5</v>
      </c>
      <c r="D5" s="20">
        <f>COUNTIFS(Gantt!$C$9:$C$27,A5,Gantt!$G$9:$G$27,"In Progress")</f>
        <v>4</v>
      </c>
      <c r="E5" s="20">
        <f>COUNTIFS(Gantt!$C$9:$C$27,A5,Gantt!$G$9:$G$27,"Done")</f>
        <v>1</v>
      </c>
      <c r="F5" s="21">
        <f t="shared" si="0"/>
        <v>0.2</v>
      </c>
    </row>
    <row r="6" spans="1:6" ht="25.5" customHeight="1" x14ac:dyDescent="0.25">
      <c r="A6" s="18" t="s">
        <v>23</v>
      </c>
      <c r="B6" s="19" t="s">
        <v>94</v>
      </c>
      <c r="C6" s="20">
        <f>COUNTIF(Gantt!$C$9:$C$27,A6)</f>
        <v>3</v>
      </c>
      <c r="D6" s="20">
        <f>COUNTIFS(Gantt!$C$9:$C$27,A6,Gantt!$G$9:$G$27,"In Progress")</f>
        <v>0</v>
      </c>
      <c r="E6" s="20">
        <f>COUNTIFS(Gantt!$C$9:$C$27,A6,Gantt!$G$9:$G$27,"Done")</f>
        <v>1</v>
      </c>
      <c r="F6" s="21">
        <f t="shared" si="0"/>
        <v>0.33333333333333331</v>
      </c>
    </row>
    <row r="7" spans="1:6" ht="25.5" customHeight="1" x14ac:dyDescent="0.25">
      <c r="A7" s="18" t="s">
        <v>21</v>
      </c>
      <c r="B7" s="19" t="s">
        <v>95</v>
      </c>
      <c r="C7" s="20">
        <f>COUNTIF(Gantt!$C$9:$C$27,A7)</f>
        <v>2</v>
      </c>
      <c r="D7" s="20">
        <f>COUNTIFS(Gantt!$C$9:$C$27,A7,Gantt!$G$9:$G$27,"In Progress")</f>
        <v>1</v>
      </c>
      <c r="E7" s="20">
        <f>COUNTIFS(Gantt!$C$9:$C$27,A7,Gantt!$G$9:$G$27,"Done")</f>
        <v>1</v>
      </c>
      <c r="F7" s="21">
        <f t="shared" si="0"/>
        <v>0.5</v>
      </c>
    </row>
    <row r="8" spans="1:6" ht="25.5" customHeight="1" x14ac:dyDescent="0.25">
      <c r="A8" s="18" t="s">
        <v>44</v>
      </c>
      <c r="B8" s="19" t="s">
        <v>96</v>
      </c>
      <c r="C8" s="20">
        <f>COUNTIF(Gantt!$C$9:$C$27,A8)</f>
        <v>1</v>
      </c>
      <c r="D8" s="20">
        <f>COUNTIFS(Gantt!$C$9:$C$27,A8,Gantt!$G$9:$G$27,"In Progress")</f>
        <v>0</v>
      </c>
      <c r="E8" s="20">
        <f>COUNTIFS(Gantt!$C$9:$C$27,A8,Gantt!$G$9:$G$27,"Done")</f>
        <v>0</v>
      </c>
      <c r="F8" s="21">
        <f t="shared" si="0"/>
        <v>0</v>
      </c>
    </row>
    <row r="9" spans="1:6" ht="25.5" customHeight="1" x14ac:dyDescent="0.25">
      <c r="A9" s="18" t="s">
        <v>25</v>
      </c>
      <c r="B9" s="19" t="s">
        <v>45</v>
      </c>
      <c r="C9" s="20">
        <f>COUNTIF(Gantt!$C$9:$C$27,A9)</f>
        <v>3</v>
      </c>
      <c r="D9" s="20">
        <f>COUNTIFS(Gantt!$C$9:$C$27,A9,Gantt!$G$9:$G$27,"In Progress")</f>
        <v>0</v>
      </c>
      <c r="E9" s="20">
        <f>COUNTIFS(Gantt!$C$9:$C$27,A9,Gantt!$G$9:$G$27,"Done")</f>
        <v>2</v>
      </c>
      <c r="F9" s="21">
        <f t="shared" si="0"/>
        <v>0.66666666666666663</v>
      </c>
    </row>
    <row r="10" spans="1:6" x14ac:dyDescent="0.25">
      <c r="A10" s="22" t="s">
        <v>46</v>
      </c>
      <c r="B10" s="22"/>
      <c r="C10" s="23">
        <f>SUM(C4:C9)</f>
        <v>17</v>
      </c>
      <c r="D10" s="23">
        <f>SUM(D4:D9)</f>
        <v>5</v>
      </c>
      <c r="E10" s="23">
        <f>SUM(E4:E9)</f>
        <v>7</v>
      </c>
      <c r="F10" s="24">
        <f t="shared" si="0"/>
        <v>0.41176470588235292</v>
      </c>
    </row>
    <row r="12" spans="1:6" x14ac:dyDescent="0.25">
      <c r="A12" s="15" t="s">
        <v>47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42" customWidth="1"/>
    <col min="3" max="3" width="12" customWidth="1"/>
    <col min="4" max="4" width="10" customWidth="1"/>
    <col min="5" max="5" width="8" customWidth="1"/>
    <col min="6" max="6" width="10" customWidth="1"/>
    <col min="7" max="7" width="11" customWidth="1"/>
    <col min="8" max="8" width="70" customWidth="1"/>
    <col min="9" max="9" width="14" customWidth="1"/>
  </cols>
  <sheetData>
    <row r="1" spans="1:9" ht="18" x14ac:dyDescent="0.25">
      <c r="A1" s="16" t="s">
        <v>48</v>
      </c>
    </row>
    <row r="2" spans="1:9" x14ac:dyDescent="0.25">
      <c r="A2" s="15" t="s">
        <v>49</v>
      </c>
    </row>
    <row r="4" spans="1:9" x14ac:dyDescent="0.25">
      <c r="A4" s="17" t="s">
        <v>50</v>
      </c>
      <c r="B4" s="17" t="s">
        <v>51</v>
      </c>
      <c r="C4" s="17" t="s">
        <v>52</v>
      </c>
      <c r="D4" s="17" t="s">
        <v>53</v>
      </c>
      <c r="E4" s="17" t="s">
        <v>54</v>
      </c>
      <c r="F4" s="17" t="s">
        <v>55</v>
      </c>
      <c r="G4" s="17" t="s">
        <v>11</v>
      </c>
      <c r="H4" s="17" t="s">
        <v>56</v>
      </c>
      <c r="I4" s="17" t="s">
        <v>57</v>
      </c>
    </row>
    <row r="5" spans="1:9" ht="54" customHeight="1" x14ac:dyDescent="0.25">
      <c r="A5" s="20" t="s">
        <v>58</v>
      </c>
      <c r="B5" s="19" t="s">
        <v>59</v>
      </c>
      <c r="C5" s="20">
        <v>2</v>
      </c>
      <c r="D5" s="20">
        <v>3</v>
      </c>
      <c r="E5" s="20">
        <f t="shared" ref="E5:E14" si="0">C5*D5</f>
        <v>6</v>
      </c>
      <c r="F5" s="20" t="str">
        <f t="shared" ref="F5:F14" si="1">IF(E5&gt;=6,"High",IF(E5&gt;=3,"Medium","Low"))</f>
        <v>High</v>
      </c>
      <c r="G5" s="20" t="s">
        <v>60</v>
      </c>
      <c r="H5" s="19" t="s">
        <v>61</v>
      </c>
      <c r="I5" s="20" t="s">
        <v>14</v>
      </c>
    </row>
    <row r="6" spans="1:9" ht="54" customHeight="1" x14ac:dyDescent="0.25">
      <c r="A6" s="20" t="s">
        <v>62</v>
      </c>
      <c r="B6" s="19" t="s">
        <v>63</v>
      </c>
      <c r="C6" s="20">
        <v>2</v>
      </c>
      <c r="D6" s="20">
        <v>3</v>
      </c>
      <c r="E6" s="20">
        <f t="shared" si="0"/>
        <v>6</v>
      </c>
      <c r="F6" s="20" t="str">
        <f t="shared" si="1"/>
        <v>High</v>
      </c>
      <c r="G6" s="20" t="s">
        <v>64</v>
      </c>
      <c r="H6" s="19" t="s">
        <v>65</v>
      </c>
      <c r="I6" s="20" t="s">
        <v>14</v>
      </c>
    </row>
    <row r="7" spans="1:9" ht="54" customHeight="1" x14ac:dyDescent="0.25">
      <c r="A7" s="20" t="s">
        <v>66</v>
      </c>
      <c r="B7" s="19" t="s">
        <v>67</v>
      </c>
      <c r="C7" s="20">
        <v>2</v>
      </c>
      <c r="D7" s="20">
        <v>3</v>
      </c>
      <c r="E7" s="20">
        <f t="shared" si="0"/>
        <v>6</v>
      </c>
      <c r="F7" s="20" t="str">
        <f t="shared" si="1"/>
        <v>High</v>
      </c>
      <c r="G7" s="20" t="s">
        <v>64</v>
      </c>
      <c r="H7" s="19" t="s">
        <v>68</v>
      </c>
      <c r="I7" s="20" t="s">
        <v>25</v>
      </c>
    </row>
    <row r="8" spans="1:9" ht="54" customHeight="1" x14ac:dyDescent="0.25">
      <c r="A8" s="20" t="s">
        <v>69</v>
      </c>
      <c r="B8" s="19" t="s">
        <v>70</v>
      </c>
      <c r="C8" s="20">
        <v>2</v>
      </c>
      <c r="D8" s="20">
        <v>2</v>
      </c>
      <c r="E8" s="20">
        <f t="shared" si="0"/>
        <v>4</v>
      </c>
      <c r="F8" s="20" t="str">
        <f t="shared" si="1"/>
        <v>Medium</v>
      </c>
      <c r="G8" s="20" t="s">
        <v>64</v>
      </c>
      <c r="H8" s="19" t="s">
        <v>71</v>
      </c>
      <c r="I8" s="20" t="s">
        <v>25</v>
      </c>
    </row>
    <row r="9" spans="1:9" ht="54" customHeight="1" x14ac:dyDescent="0.25">
      <c r="A9" s="20" t="s">
        <v>72</v>
      </c>
      <c r="B9" s="19" t="s">
        <v>73</v>
      </c>
      <c r="C9" s="20">
        <v>3</v>
      </c>
      <c r="D9" s="20">
        <v>2</v>
      </c>
      <c r="E9" s="20">
        <f t="shared" si="0"/>
        <v>6</v>
      </c>
      <c r="F9" s="20" t="str">
        <f t="shared" si="1"/>
        <v>High</v>
      </c>
      <c r="G9" s="20" t="s">
        <v>64</v>
      </c>
      <c r="H9" s="19" t="s">
        <v>74</v>
      </c>
      <c r="I9" s="20" t="s">
        <v>25</v>
      </c>
    </row>
    <row r="10" spans="1:9" ht="54" customHeight="1" x14ac:dyDescent="0.25">
      <c r="A10" s="20" t="s">
        <v>75</v>
      </c>
      <c r="B10" s="19" t="s">
        <v>76</v>
      </c>
      <c r="C10" s="20">
        <v>3</v>
      </c>
      <c r="D10" s="20">
        <v>1</v>
      </c>
      <c r="E10" s="20">
        <f t="shared" si="0"/>
        <v>3</v>
      </c>
      <c r="F10" s="20" t="str">
        <f t="shared" si="1"/>
        <v>Medium</v>
      </c>
      <c r="G10" s="20" t="s">
        <v>64</v>
      </c>
      <c r="H10" s="19" t="s">
        <v>77</v>
      </c>
      <c r="I10" s="20" t="s">
        <v>25</v>
      </c>
    </row>
    <row r="11" spans="1:9" ht="54" customHeight="1" x14ac:dyDescent="0.25">
      <c r="A11" s="20" t="s">
        <v>78</v>
      </c>
      <c r="B11" s="19" t="s">
        <v>79</v>
      </c>
      <c r="C11" s="20">
        <v>2</v>
      </c>
      <c r="D11" s="20">
        <v>2</v>
      </c>
      <c r="E11" s="20">
        <f t="shared" si="0"/>
        <v>4</v>
      </c>
      <c r="F11" s="20" t="str">
        <f t="shared" si="1"/>
        <v>Medium</v>
      </c>
      <c r="G11" s="20" t="s">
        <v>64</v>
      </c>
      <c r="H11" s="19" t="s">
        <v>80</v>
      </c>
      <c r="I11" s="20" t="s">
        <v>14</v>
      </c>
    </row>
    <row r="12" spans="1:9" ht="54" customHeight="1" x14ac:dyDescent="0.25">
      <c r="A12" s="20" t="s">
        <v>81</v>
      </c>
      <c r="B12" s="19" t="s">
        <v>82</v>
      </c>
      <c r="C12" s="20">
        <v>2</v>
      </c>
      <c r="D12" s="20">
        <v>2</v>
      </c>
      <c r="E12" s="20">
        <f t="shared" si="0"/>
        <v>4</v>
      </c>
      <c r="F12" s="20" t="str">
        <f t="shared" si="1"/>
        <v>Medium</v>
      </c>
      <c r="G12" s="20" t="s">
        <v>64</v>
      </c>
      <c r="H12" s="19" t="s">
        <v>83</v>
      </c>
      <c r="I12" s="20" t="s">
        <v>25</v>
      </c>
    </row>
    <row r="13" spans="1:9" ht="54" customHeight="1" x14ac:dyDescent="0.25">
      <c r="A13" s="20" t="s">
        <v>84</v>
      </c>
      <c r="B13" s="19" t="s">
        <v>85</v>
      </c>
      <c r="C13" s="20">
        <v>2</v>
      </c>
      <c r="D13" s="20">
        <v>2</v>
      </c>
      <c r="E13" s="20">
        <f t="shared" si="0"/>
        <v>4</v>
      </c>
      <c r="F13" s="20" t="str">
        <f t="shared" si="1"/>
        <v>Medium</v>
      </c>
      <c r="G13" s="20" t="s">
        <v>64</v>
      </c>
      <c r="H13" s="19" t="s">
        <v>86</v>
      </c>
      <c r="I13" s="20" t="s">
        <v>25</v>
      </c>
    </row>
    <row r="14" spans="1:9" ht="54" customHeight="1" x14ac:dyDescent="0.25">
      <c r="A14" s="20" t="s">
        <v>87</v>
      </c>
      <c r="B14" s="19" t="s">
        <v>88</v>
      </c>
      <c r="C14" s="20">
        <v>2</v>
      </c>
      <c r="D14" s="20">
        <v>1</v>
      </c>
      <c r="E14" s="20">
        <f t="shared" si="0"/>
        <v>2</v>
      </c>
      <c r="F14" s="20" t="str">
        <f t="shared" si="1"/>
        <v>Low</v>
      </c>
      <c r="G14" s="20" t="s">
        <v>64</v>
      </c>
      <c r="H14" s="19" t="s">
        <v>89</v>
      </c>
      <c r="I14" s="20" t="s">
        <v>14</v>
      </c>
    </row>
  </sheetData>
  <conditionalFormatting sqref="F5:F14">
    <cfRule type="expression" dxfId="2" priority="2">
      <formula>F5="High"</formula>
    </cfRule>
    <cfRule type="expression" dxfId="1" priority="3">
      <formula>F5="Medium"</formula>
    </cfRule>
    <cfRule type="expression" dxfId="0" priority="4">
      <formula>F5="Low"</formula>
    </cfRule>
  </conditionalFormatting>
  <dataValidations count="2">
    <dataValidation type="list" sqref="C5:D14" xr:uid="{00000000-0002-0000-0200-000000000000}">
      <formula1>"1,2,3"</formula1>
      <formula2>0</formula2>
    </dataValidation>
    <dataValidation type="list" sqref="G5:G14" xr:uid="{00000000-0002-0000-0200-000001000000}">
      <formula1>"Open,Happened,Closed"</formula1>
      <formula2>0</formula2>
    </dataValidation>
  </dataValidations>
  <pageMargins left="0.75" right="0.75" top="1" bottom="1" header="0.511811023622047" footer="0.511811023622047"/>
  <pageSetup scale="66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</vt:lpstr>
      <vt:lpstr>Task Distribution</vt:lpstr>
      <vt:lpstr>Risk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Dalia Abdalaal</dc:creator>
  <dc:description/>
  <cp:lastModifiedBy>Dalia Abdelaal</cp:lastModifiedBy>
  <cp:revision>0</cp:revision>
  <cp:lastPrinted>2026-10-09T11:10:52Z</cp:lastPrinted>
  <dcterms:created xsi:type="dcterms:W3CDTF">2026-10-09T07:37:02Z</dcterms:created>
  <dcterms:modified xsi:type="dcterms:W3CDTF">2026-10-15T16:54:41Z</dcterms:modified>
  <dc:language>en-US</dc:language>
</cp:coreProperties>
</file>